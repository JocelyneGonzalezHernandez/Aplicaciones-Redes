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sionUser\Documents\"/>
    </mc:Choice>
  </mc:AlternateContent>
  <xr:revisionPtr revIDLastSave="0" documentId="8_{8D1D12CA-1F93-4D07-AC0E-B5A21707BC7F}" xr6:coauthVersionLast="47" xr6:coauthVersionMax="47" xr10:uidLastSave="{00000000-0000-0000-0000-000000000000}"/>
  <bookViews>
    <workbookView xWindow="-110" yWindow="-110" windowWidth="19420" windowHeight="10420" firstSheet="2" activeTab="2" xr2:uid="{0AB70459-1BB6-4266-BF82-76F97F5110D2}"/>
  </bookViews>
  <sheets>
    <sheet name="Ciudades" sheetId="1" r:id="rId1"/>
    <sheet name="Rutas" sheetId="2" r:id="rId2"/>
    <sheet name="Resume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2" l="1"/>
  <c r="N26" i="2"/>
  <c r="M41" i="2"/>
  <c r="N41" i="2"/>
  <c r="M40" i="2"/>
  <c r="N40" i="2"/>
  <c r="M34" i="2"/>
  <c r="N34" i="2"/>
  <c r="M31" i="2"/>
  <c r="N31" i="2"/>
  <c r="M27" i="2"/>
  <c r="N27" i="2"/>
  <c r="M23" i="2"/>
  <c r="N23" i="2"/>
  <c r="M22" i="2"/>
  <c r="N22" i="2"/>
  <c r="M12" i="2"/>
  <c r="N12" i="2"/>
  <c r="M11" i="2"/>
  <c r="N11" i="2"/>
  <c r="M6" i="2"/>
  <c r="N6" i="2"/>
  <c r="N7" i="2"/>
  <c r="N8" i="2"/>
  <c r="N9" i="2"/>
  <c r="N10" i="2"/>
  <c r="N13" i="2"/>
  <c r="N14" i="2"/>
  <c r="N15" i="2"/>
  <c r="N16" i="2"/>
  <c r="N17" i="2"/>
  <c r="N18" i="2"/>
  <c r="N19" i="2"/>
  <c r="N20" i="2"/>
  <c r="N21" i="2"/>
  <c r="N24" i="2"/>
  <c r="N25" i="2"/>
  <c r="N28" i="2"/>
  <c r="N29" i="2"/>
  <c r="N30" i="2"/>
  <c r="N32" i="2"/>
  <c r="N33" i="2"/>
  <c r="N35" i="2"/>
  <c r="N36" i="2"/>
  <c r="N37" i="2"/>
  <c r="N38" i="2"/>
  <c r="N39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5" i="2"/>
  <c r="L4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G5" i="2"/>
  <c r="N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" i="2"/>
  <c r="H5" i="2"/>
  <c r="H4" i="2"/>
  <c r="N4" i="2"/>
</calcChain>
</file>

<file path=xl/sharedStrings.xml><?xml version="1.0" encoding="utf-8"?>
<sst xmlns="http://schemas.openxmlformats.org/spreadsheetml/2006/main" count="312" uniqueCount="58">
  <si>
    <t>Ciudad</t>
  </si>
  <si>
    <t>País</t>
  </si>
  <si>
    <t>Aeropuerto</t>
  </si>
  <si>
    <t>Tipo Ciudad</t>
  </si>
  <si>
    <t>La Comarca</t>
  </si>
  <si>
    <t>Tierra Media</t>
  </si>
  <si>
    <t>Bilbo Bolsón</t>
  </si>
  <si>
    <t>Ordinaria</t>
  </si>
  <si>
    <t>Rivendel</t>
  </si>
  <si>
    <t>Altos Elfos</t>
  </si>
  <si>
    <t>Importante</t>
  </si>
  <si>
    <t>Rohan</t>
  </si>
  <si>
    <t>Caballo Verde</t>
  </si>
  <si>
    <t>Reino del Bosque</t>
  </si>
  <si>
    <t>Elfos Silvanos</t>
  </si>
  <si>
    <t>Erebor</t>
  </si>
  <si>
    <t>Durin</t>
  </si>
  <si>
    <t>Gondor</t>
  </si>
  <si>
    <t>Isildur</t>
  </si>
  <si>
    <t>Capital</t>
  </si>
  <si>
    <t>Moria</t>
  </si>
  <si>
    <t>Khazad Dum</t>
  </si>
  <si>
    <t>Isengard</t>
  </si>
  <si>
    <t>Mago Blanco</t>
  </si>
  <si>
    <t>Mordor</t>
  </si>
  <si>
    <t>Ojo de Sauron</t>
  </si>
  <si>
    <t>Narnia</t>
  </si>
  <si>
    <t>León Real</t>
  </si>
  <si>
    <t>Telmar</t>
  </si>
  <si>
    <t>Príncipe Caspian</t>
  </si>
  <si>
    <t xml:space="preserve">Charn </t>
  </si>
  <si>
    <t>Bruja Blanca</t>
  </si>
  <si>
    <t>Ciudad Esmeralda</t>
  </si>
  <si>
    <t>Oz</t>
  </si>
  <si>
    <t>Mago de Oz</t>
  </si>
  <si>
    <t xml:space="preserve">Winkie </t>
  </si>
  <si>
    <t>Bruja del Oeste</t>
  </si>
  <si>
    <t xml:space="preserve">Munchkin </t>
  </si>
  <si>
    <t>Dorita</t>
  </si>
  <si>
    <t>Origen</t>
  </si>
  <si>
    <t>Destino</t>
  </si>
  <si>
    <t>Tipo Viaje</t>
  </si>
  <si>
    <t>Distancia (Km)</t>
  </si>
  <si>
    <t>Tiempo vuelo</t>
  </si>
  <si>
    <t>Costo vuelo</t>
  </si>
  <si>
    <t>Tiempo espera</t>
  </si>
  <si>
    <t>Cuota Aeropuerto</t>
  </si>
  <si>
    <t>Impuesto</t>
  </si>
  <si>
    <t>Tiempo Aduana</t>
  </si>
  <si>
    <t>Tiempo total (Hrs)</t>
  </si>
  <si>
    <t>Descuento</t>
  </si>
  <si>
    <t>Costo total</t>
  </si>
  <si>
    <t>N</t>
  </si>
  <si>
    <t>I</t>
  </si>
  <si>
    <t>Winkie</t>
  </si>
  <si>
    <t>Charn</t>
  </si>
  <si>
    <t>Munchkin</t>
  </si>
  <si>
    <t>* Tipo de viaje (N=Nacional / I =Internacional)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</si>
</sst>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1" fillId="0" borderId="6" xfId="0" applyFont="1" applyBorder="1"/>
    <xf numFmtId="0" fontId="1" fillId="0" borderId="3" xfId="0" applyFont="1" applyBorder="1"/>
    <xf numFmtId="4" fontId="0" fillId="0" borderId="0" xfId="0" applyNumberFormat="1"/>
    <xf numFmtId="0" fontId="1" fillId="0" borderId="14" xfId="0" applyFont="1" applyBorder="1"/>
    <xf numFmtId="164" fontId="0" fillId="0" borderId="0" xfId="0" applyNumberFormat="1"/>
    <xf numFmtId="164" fontId="0" fillId="0" borderId="2" xfId="0" applyNumberFormat="1" applyBorder="1"/>
    <xf numFmtId="0" fontId="1" fillId="0" borderId="18" xfId="0" applyFont="1" applyBorder="1"/>
    <xf numFmtId="0" fontId="1" fillId="0" borderId="19" xfId="0" applyFont="1" applyBorder="1"/>
    <xf numFmtId="4" fontId="1" fillId="0" borderId="19" xfId="0" applyNumberFormat="1" applyFont="1" applyBorder="1"/>
    <xf numFmtId="164" fontId="1" fillId="0" borderId="19" xfId="0" applyNumberFormat="1" applyFont="1" applyBorder="1"/>
    <xf numFmtId="164" fontId="1" fillId="0" borderId="20" xfId="0" applyNumberFormat="1" applyFont="1" applyBorder="1"/>
    <xf numFmtId="0" fontId="0" fillId="0" borderId="18" xfId="0" applyBorder="1"/>
    <xf numFmtId="0" fontId="0" fillId="0" borderId="19" xfId="0" applyBorder="1"/>
    <xf numFmtId="164" fontId="0" fillId="0" borderId="19" xfId="0" applyNumberFormat="1" applyBorder="1"/>
    <xf numFmtId="164" fontId="0" fillId="0" borderId="4" xfId="0" applyNumberFormat="1" applyBorder="1"/>
    <xf numFmtId="164" fontId="0" fillId="0" borderId="9" xfId="0" applyNumberFormat="1" applyBorder="1"/>
    <xf numFmtId="4" fontId="0" fillId="2" borderId="19" xfId="0" applyNumberFormat="1" applyFill="1" applyBorder="1"/>
    <xf numFmtId="4" fontId="0" fillId="2" borderId="4" xfId="0" applyNumberFormat="1" applyFill="1" applyBorder="1"/>
    <xf numFmtId="4" fontId="0" fillId="2" borderId="2" xfId="0" applyNumberFormat="1" applyFill="1" applyBorder="1"/>
    <xf numFmtId="4" fontId="0" fillId="2" borderId="9" xfId="0" applyNumberFormat="1" applyFill="1" applyBorder="1"/>
    <xf numFmtId="0" fontId="0" fillId="3" borderId="19" xfId="0" applyFill="1" applyBorder="1"/>
    <xf numFmtId="0" fontId="0" fillId="3" borderId="4" xfId="0" applyFill="1" applyBorder="1"/>
    <xf numFmtId="0" fontId="0" fillId="3" borderId="2" xfId="0" applyFill="1" applyBorder="1"/>
    <xf numFmtId="0" fontId="0" fillId="3" borderId="9" xfId="0" applyFill="1" applyBorder="1"/>
    <xf numFmtId="164" fontId="0" fillId="4" borderId="20" xfId="0" applyNumberFormat="1" applyFill="1" applyBorder="1"/>
    <xf numFmtId="164" fontId="0" fillId="4" borderId="5" xfId="0" applyNumberFormat="1" applyFill="1" applyBorder="1"/>
    <xf numFmtId="164" fontId="0" fillId="4" borderId="7" xfId="0" applyNumberFormat="1" applyFill="1" applyBorder="1"/>
    <xf numFmtId="164" fontId="0" fillId="4" borderId="10" xfId="0" applyNumberFormat="1" applyFill="1" applyBorder="1"/>
    <xf numFmtId="0" fontId="1" fillId="0" borderId="20" xfId="0" applyFont="1" applyBorder="1"/>
    <xf numFmtId="4" fontId="0" fillId="0" borderId="2" xfId="0" applyNumberFormat="1" applyBorder="1"/>
    <xf numFmtId="4" fontId="0" fillId="0" borderId="4" xfId="0" applyNumberFormat="1" applyBorder="1"/>
    <xf numFmtId="164" fontId="0" fillId="0" borderId="5" xfId="0" applyNumberFormat="1" applyBorder="1"/>
    <xf numFmtId="164" fontId="0" fillId="0" borderId="7" xfId="0" applyNumberFormat="1" applyBorder="1"/>
    <xf numFmtId="4" fontId="0" fillId="0" borderId="9" xfId="0" applyNumberFormat="1" applyBorder="1"/>
    <xf numFmtId="164" fontId="0" fillId="0" borderId="10" xfId="0" applyNumberFormat="1" applyBorder="1"/>
    <xf numFmtId="164" fontId="1" fillId="0" borderId="1" xfId="0" applyNumberFormat="1" applyFont="1" applyBorder="1"/>
    <xf numFmtId="0" fontId="1" fillId="0" borderId="21" xfId="0" applyFont="1" applyBorder="1"/>
    <xf numFmtId="4" fontId="1" fillId="0" borderId="1" xfId="0" applyNumberFormat="1" applyFont="1" applyBorder="1"/>
    <xf numFmtId="0" fontId="0" fillId="0" borderId="0" xfId="0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5970-A99A-4561-9BF5-788673D26F6D}">
  <dimension ref="B2:E18"/>
  <sheetViews>
    <sheetView workbookViewId="0">
      <selection activeCell="D18" sqref="D18"/>
    </sheetView>
  </sheetViews>
  <sheetFormatPr defaultColWidth="10.7109375" defaultRowHeight="15"/>
  <cols>
    <col min="2" max="2" width="16.5703125" customWidth="1"/>
    <col min="3" max="3" width="14.85546875" customWidth="1"/>
    <col min="4" max="4" width="14.42578125" customWidth="1"/>
    <col min="5" max="5" width="12.5703125" customWidth="1"/>
  </cols>
  <sheetData>
    <row r="2" spans="2:5" ht="15.75" thickBot="1"/>
    <row r="3" spans="2:5" ht="15.75" thickBot="1">
      <c r="B3" s="22" t="s">
        <v>0</v>
      </c>
      <c r="C3" s="23" t="s">
        <v>1</v>
      </c>
      <c r="D3" s="23" t="s">
        <v>2</v>
      </c>
      <c r="E3" s="44" t="s">
        <v>3</v>
      </c>
    </row>
    <row r="4" spans="2:5">
      <c r="B4" s="3" t="s">
        <v>4</v>
      </c>
      <c r="C4" s="4" t="s">
        <v>5</v>
      </c>
      <c r="D4" s="4" t="s">
        <v>6</v>
      </c>
      <c r="E4" s="5" t="s">
        <v>7</v>
      </c>
    </row>
    <row r="5" spans="2:5">
      <c r="B5" s="6" t="s">
        <v>8</v>
      </c>
      <c r="C5" s="2" t="s">
        <v>5</v>
      </c>
      <c r="D5" s="2" t="s">
        <v>9</v>
      </c>
      <c r="E5" s="7" t="s">
        <v>10</v>
      </c>
    </row>
    <row r="6" spans="2:5">
      <c r="B6" s="6" t="s">
        <v>11</v>
      </c>
      <c r="C6" s="2" t="s">
        <v>5</v>
      </c>
      <c r="D6" s="2" t="s">
        <v>12</v>
      </c>
      <c r="E6" s="7" t="s">
        <v>7</v>
      </c>
    </row>
    <row r="7" spans="2:5">
      <c r="B7" s="6" t="s">
        <v>13</v>
      </c>
      <c r="C7" s="2" t="s">
        <v>5</v>
      </c>
      <c r="D7" s="2" t="s">
        <v>14</v>
      </c>
      <c r="E7" s="7" t="s">
        <v>7</v>
      </c>
    </row>
    <row r="8" spans="2:5">
      <c r="B8" s="6" t="s">
        <v>15</v>
      </c>
      <c r="C8" s="2" t="s">
        <v>5</v>
      </c>
      <c r="D8" s="2" t="s">
        <v>16</v>
      </c>
      <c r="E8" s="7" t="s">
        <v>7</v>
      </c>
    </row>
    <row r="9" spans="2:5">
      <c r="B9" s="16" t="s">
        <v>17</v>
      </c>
      <c r="C9" s="2" t="s">
        <v>5</v>
      </c>
      <c r="D9" s="2" t="s">
        <v>18</v>
      </c>
      <c r="E9" s="7" t="s">
        <v>19</v>
      </c>
    </row>
    <row r="10" spans="2:5">
      <c r="B10" s="6" t="s">
        <v>20</v>
      </c>
      <c r="C10" s="2" t="s">
        <v>5</v>
      </c>
      <c r="D10" s="2" t="s">
        <v>21</v>
      </c>
      <c r="E10" s="7" t="s">
        <v>7</v>
      </c>
    </row>
    <row r="11" spans="2:5">
      <c r="B11" s="6" t="s">
        <v>22</v>
      </c>
      <c r="C11" s="2" t="s">
        <v>5</v>
      </c>
      <c r="D11" s="2" t="s">
        <v>23</v>
      </c>
      <c r="E11" s="7" t="s">
        <v>7</v>
      </c>
    </row>
    <row r="12" spans="2:5" ht="15.75" thickBot="1">
      <c r="B12" s="11" t="s">
        <v>24</v>
      </c>
      <c r="C12" s="12" t="s">
        <v>5</v>
      </c>
      <c r="D12" s="12" t="s">
        <v>25</v>
      </c>
      <c r="E12" s="13" t="s">
        <v>10</v>
      </c>
    </row>
    <row r="13" spans="2:5">
      <c r="B13" s="17" t="s">
        <v>26</v>
      </c>
      <c r="C13" s="4" t="s">
        <v>26</v>
      </c>
      <c r="D13" s="4" t="s">
        <v>27</v>
      </c>
      <c r="E13" s="5" t="s">
        <v>19</v>
      </c>
    </row>
    <row r="14" spans="2:5">
      <c r="B14" s="6" t="s">
        <v>28</v>
      </c>
      <c r="C14" s="2" t="s">
        <v>26</v>
      </c>
      <c r="D14" s="2" t="s">
        <v>29</v>
      </c>
      <c r="E14" s="7" t="s">
        <v>10</v>
      </c>
    </row>
    <row r="15" spans="2:5" ht="15.75" thickBot="1">
      <c r="B15" s="8" t="s">
        <v>30</v>
      </c>
      <c r="C15" s="9" t="s">
        <v>26</v>
      </c>
      <c r="D15" s="9" t="s">
        <v>31</v>
      </c>
      <c r="E15" s="10" t="s">
        <v>10</v>
      </c>
    </row>
    <row r="16" spans="2:5">
      <c r="B16" s="19" t="s">
        <v>32</v>
      </c>
      <c r="C16" s="14" t="s">
        <v>33</v>
      </c>
      <c r="D16" s="14" t="s">
        <v>34</v>
      </c>
      <c r="E16" s="15" t="s">
        <v>19</v>
      </c>
    </row>
    <row r="17" spans="2:5">
      <c r="B17" s="6" t="s">
        <v>35</v>
      </c>
      <c r="C17" s="2" t="s">
        <v>33</v>
      </c>
      <c r="D17" s="2" t="s">
        <v>36</v>
      </c>
      <c r="E17" s="7" t="s">
        <v>10</v>
      </c>
    </row>
    <row r="18" spans="2:5" ht="15.75" thickBot="1">
      <c r="B18" s="8" t="s">
        <v>37</v>
      </c>
      <c r="C18" s="9" t="s">
        <v>33</v>
      </c>
      <c r="D18" s="9" t="s">
        <v>38</v>
      </c>
      <c r="E18" s="1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1924-D162-47A2-A372-3E414CEAB27D}">
  <dimension ref="B2:N43"/>
  <sheetViews>
    <sheetView topLeftCell="A16" workbookViewId="0">
      <selection activeCell="L4" sqref="L4"/>
    </sheetView>
  </sheetViews>
  <sheetFormatPr defaultColWidth="10.7109375" defaultRowHeight="15"/>
  <cols>
    <col min="2" max="2" width="15.140625" bestFit="1" customWidth="1"/>
    <col min="3" max="3" width="17.42578125" customWidth="1"/>
    <col min="5" max="5" width="12.85546875" style="18" bestFit="1" customWidth="1"/>
    <col min="6" max="6" width="12.140625" bestFit="1" customWidth="1"/>
    <col min="7" max="7" width="11.85546875" style="20" bestFit="1" customWidth="1"/>
    <col min="8" max="8" width="13.140625" bestFit="1" customWidth="1"/>
    <col min="9" max="9" width="16.140625" style="20" customWidth="1"/>
    <col min="10" max="10" width="10.140625" style="20" bestFit="1" customWidth="1"/>
    <col min="11" max="11" width="14" bestFit="1" customWidth="1"/>
    <col min="12" max="12" width="15.7109375" customWidth="1"/>
    <col min="13" max="13" width="9.7109375" bestFit="1" customWidth="1"/>
    <col min="14" max="14" width="10.85546875" style="20"/>
  </cols>
  <sheetData>
    <row r="2" spans="2:14" ht="15.75" thickBot="1"/>
    <row r="3" spans="2:14" ht="15.75" thickBot="1">
      <c r="B3" s="22" t="s">
        <v>39</v>
      </c>
      <c r="C3" s="23" t="s">
        <v>40</v>
      </c>
      <c r="D3" s="23" t="s">
        <v>41</v>
      </c>
      <c r="E3" s="24" t="s">
        <v>42</v>
      </c>
      <c r="F3" s="23" t="s">
        <v>43</v>
      </c>
      <c r="G3" s="25" t="s">
        <v>44</v>
      </c>
      <c r="H3" s="23" t="s">
        <v>45</v>
      </c>
      <c r="I3" s="25" t="s">
        <v>46</v>
      </c>
      <c r="J3" s="25" t="s">
        <v>47</v>
      </c>
      <c r="K3" s="23" t="s">
        <v>48</v>
      </c>
      <c r="L3" s="23" t="s">
        <v>49</v>
      </c>
      <c r="M3" s="23" t="s">
        <v>50</v>
      </c>
      <c r="N3" s="26" t="s">
        <v>51</v>
      </c>
    </row>
    <row r="4" spans="2:14" ht="15.75" thickBot="1">
      <c r="B4" s="27" t="s">
        <v>4</v>
      </c>
      <c r="C4" s="28" t="s">
        <v>8</v>
      </c>
      <c r="D4" s="28" t="s">
        <v>52</v>
      </c>
      <c r="E4" s="32">
        <v>500</v>
      </c>
      <c r="F4" s="28">
        <f>E4/500</f>
        <v>1</v>
      </c>
      <c r="G4" s="29">
        <f>E4*2.5</f>
        <v>1250</v>
      </c>
      <c r="H4" s="28">
        <f>IF(D4="N",0.5,2)</f>
        <v>0.5</v>
      </c>
      <c r="I4" s="29">
        <v>200</v>
      </c>
      <c r="J4" s="29">
        <v>100</v>
      </c>
      <c r="K4" s="28">
        <v>0</v>
      </c>
      <c r="L4" s="36">
        <f>F4+H4+K4</f>
        <v>1.5</v>
      </c>
      <c r="M4" s="28">
        <v>0</v>
      </c>
      <c r="N4" s="40">
        <f>G4+I4+J4-M4</f>
        <v>1550</v>
      </c>
    </row>
    <row r="5" spans="2:14">
      <c r="B5" s="3" t="s">
        <v>8</v>
      </c>
      <c r="C5" s="4" t="s">
        <v>4</v>
      </c>
      <c r="D5" s="4" t="s">
        <v>52</v>
      </c>
      <c r="E5" s="33">
        <v>500</v>
      </c>
      <c r="F5" s="4">
        <f t="shared" ref="F5:F41" si="0">E5/500</f>
        <v>1</v>
      </c>
      <c r="G5" s="30">
        <f t="shared" ref="G5:G41" si="1">E5*2.5</f>
        <v>1250</v>
      </c>
      <c r="H5" s="4">
        <f>IF(D5="N",0.5,2)</f>
        <v>0.5</v>
      </c>
      <c r="I5" s="30">
        <v>500</v>
      </c>
      <c r="J5" s="30">
        <v>100</v>
      </c>
      <c r="K5" s="4">
        <v>0</v>
      </c>
      <c r="L5" s="37">
        <f>F5+H5+K5</f>
        <v>1.5</v>
      </c>
      <c r="M5" s="4">
        <v>0</v>
      </c>
      <c r="N5" s="41">
        <f>G5+I5+J5-M5</f>
        <v>1850</v>
      </c>
    </row>
    <row r="6" spans="2:14">
      <c r="B6" s="6" t="s">
        <v>8</v>
      </c>
      <c r="C6" s="2" t="s">
        <v>13</v>
      </c>
      <c r="D6" s="2" t="s">
        <v>52</v>
      </c>
      <c r="E6" s="34">
        <v>950</v>
      </c>
      <c r="F6" s="2">
        <f t="shared" si="0"/>
        <v>1.9</v>
      </c>
      <c r="G6" s="21">
        <f t="shared" si="1"/>
        <v>2375</v>
      </c>
      <c r="H6" s="2">
        <f t="shared" ref="H6:H41" si="2">IF(D6="N",0.5,2)</f>
        <v>0.5</v>
      </c>
      <c r="I6" s="21">
        <v>500</v>
      </c>
      <c r="J6" s="21">
        <v>0</v>
      </c>
      <c r="K6" s="2">
        <v>0</v>
      </c>
      <c r="L6" s="38">
        <f t="shared" ref="L6:L41" si="3">F6+H6+K6</f>
        <v>2.4</v>
      </c>
      <c r="M6" s="21">
        <f>G6*0.2</f>
        <v>475</v>
      </c>
      <c r="N6" s="42">
        <f t="shared" ref="N6:N41" si="4">G6+I6+J6-M6</f>
        <v>2400</v>
      </c>
    </row>
    <row r="7" spans="2:14">
      <c r="B7" s="6" t="s">
        <v>8</v>
      </c>
      <c r="C7" s="2" t="s">
        <v>11</v>
      </c>
      <c r="D7" s="2" t="s">
        <v>52</v>
      </c>
      <c r="E7" s="34">
        <v>550</v>
      </c>
      <c r="F7" s="2">
        <f t="shared" si="0"/>
        <v>1.1000000000000001</v>
      </c>
      <c r="G7" s="21">
        <f t="shared" si="1"/>
        <v>1375</v>
      </c>
      <c r="H7" s="2">
        <f t="shared" si="2"/>
        <v>0.5</v>
      </c>
      <c r="I7" s="21">
        <v>500</v>
      </c>
      <c r="J7" s="21">
        <v>100</v>
      </c>
      <c r="K7" s="2">
        <v>0</v>
      </c>
      <c r="L7" s="38">
        <f t="shared" si="3"/>
        <v>1.6</v>
      </c>
      <c r="M7" s="2">
        <v>0</v>
      </c>
      <c r="N7" s="42">
        <f t="shared" si="4"/>
        <v>1975</v>
      </c>
    </row>
    <row r="8" spans="2:14" ht="15.75" thickBot="1">
      <c r="B8" s="8" t="s">
        <v>8</v>
      </c>
      <c r="C8" s="9" t="s">
        <v>28</v>
      </c>
      <c r="D8" s="9" t="s">
        <v>53</v>
      </c>
      <c r="E8" s="35">
        <v>1100</v>
      </c>
      <c r="F8" s="9">
        <f t="shared" si="0"/>
        <v>2.2000000000000002</v>
      </c>
      <c r="G8" s="31">
        <f t="shared" si="1"/>
        <v>2750</v>
      </c>
      <c r="H8" s="9">
        <f t="shared" si="2"/>
        <v>2</v>
      </c>
      <c r="I8" s="31">
        <v>500</v>
      </c>
      <c r="J8" s="31">
        <v>500</v>
      </c>
      <c r="K8" s="9">
        <v>1</v>
      </c>
      <c r="L8" s="39">
        <f t="shared" si="3"/>
        <v>5.2</v>
      </c>
      <c r="M8" s="9">
        <v>0</v>
      </c>
      <c r="N8" s="43">
        <f t="shared" si="4"/>
        <v>3750</v>
      </c>
    </row>
    <row r="9" spans="2:14">
      <c r="B9" s="3" t="s">
        <v>11</v>
      </c>
      <c r="C9" s="4" t="s">
        <v>8</v>
      </c>
      <c r="D9" s="4" t="s">
        <v>52</v>
      </c>
      <c r="E9" s="33">
        <v>550</v>
      </c>
      <c r="F9" s="4">
        <f t="shared" si="0"/>
        <v>1.1000000000000001</v>
      </c>
      <c r="G9" s="30">
        <f t="shared" si="1"/>
        <v>1375</v>
      </c>
      <c r="H9" s="4">
        <f t="shared" si="2"/>
        <v>0.5</v>
      </c>
      <c r="I9" s="30">
        <v>200</v>
      </c>
      <c r="J9" s="30">
        <v>100</v>
      </c>
      <c r="K9" s="4">
        <v>0</v>
      </c>
      <c r="L9" s="37">
        <f t="shared" si="3"/>
        <v>1.6</v>
      </c>
      <c r="M9" s="4">
        <v>0</v>
      </c>
      <c r="N9" s="41">
        <f t="shared" si="4"/>
        <v>1675</v>
      </c>
    </row>
    <row r="10" spans="2:14">
      <c r="B10" s="6" t="s">
        <v>11</v>
      </c>
      <c r="C10" s="2" t="s">
        <v>22</v>
      </c>
      <c r="D10" s="2" t="s">
        <v>52</v>
      </c>
      <c r="E10" s="34">
        <v>400</v>
      </c>
      <c r="F10" s="2">
        <f t="shared" si="0"/>
        <v>0.8</v>
      </c>
      <c r="G10" s="21">
        <f t="shared" si="1"/>
        <v>1000</v>
      </c>
      <c r="H10" s="2">
        <f t="shared" si="2"/>
        <v>0.5</v>
      </c>
      <c r="I10" s="21">
        <v>200</v>
      </c>
      <c r="J10" s="21">
        <v>100</v>
      </c>
      <c r="K10" s="2">
        <v>0</v>
      </c>
      <c r="L10" s="38">
        <f t="shared" si="3"/>
        <v>1.3</v>
      </c>
      <c r="M10" s="2">
        <v>0</v>
      </c>
      <c r="N10" s="42">
        <f t="shared" si="4"/>
        <v>1300</v>
      </c>
    </row>
    <row r="11" spans="2:14" ht="15.75" thickBot="1">
      <c r="B11" s="8" t="s">
        <v>11</v>
      </c>
      <c r="C11" s="9" t="s">
        <v>17</v>
      </c>
      <c r="D11" s="9" t="s">
        <v>52</v>
      </c>
      <c r="E11" s="35">
        <v>600</v>
      </c>
      <c r="F11" s="9">
        <f t="shared" si="0"/>
        <v>1.2</v>
      </c>
      <c r="G11" s="31">
        <f t="shared" si="1"/>
        <v>1500</v>
      </c>
      <c r="H11" s="9">
        <f t="shared" si="2"/>
        <v>0.5</v>
      </c>
      <c r="I11" s="31">
        <v>200</v>
      </c>
      <c r="J11" s="31">
        <v>0</v>
      </c>
      <c r="K11" s="9">
        <v>0</v>
      </c>
      <c r="L11" s="39">
        <f t="shared" si="3"/>
        <v>1.7</v>
      </c>
      <c r="M11" s="31">
        <f>0.1*G11</f>
        <v>150</v>
      </c>
      <c r="N11" s="43">
        <f t="shared" si="4"/>
        <v>1550</v>
      </c>
    </row>
    <row r="12" spans="2:14">
      <c r="B12" s="3" t="s">
        <v>17</v>
      </c>
      <c r="C12" s="4" t="s">
        <v>11</v>
      </c>
      <c r="D12" s="4" t="s">
        <v>52</v>
      </c>
      <c r="E12" s="33">
        <v>600</v>
      </c>
      <c r="F12" s="4">
        <f t="shared" si="0"/>
        <v>1.2</v>
      </c>
      <c r="G12" s="30">
        <f t="shared" si="1"/>
        <v>1500</v>
      </c>
      <c r="H12" s="4">
        <f t="shared" si="2"/>
        <v>0.5</v>
      </c>
      <c r="I12" s="30">
        <v>1000</v>
      </c>
      <c r="J12" s="30">
        <v>0</v>
      </c>
      <c r="K12" s="4">
        <v>0</v>
      </c>
      <c r="L12" s="37">
        <f t="shared" si="3"/>
        <v>1.7</v>
      </c>
      <c r="M12" s="30">
        <f>G12*0.1</f>
        <v>150</v>
      </c>
      <c r="N12" s="41">
        <f t="shared" si="4"/>
        <v>2350</v>
      </c>
    </row>
    <row r="13" spans="2:14">
      <c r="B13" s="6" t="s">
        <v>17</v>
      </c>
      <c r="C13" s="2" t="s">
        <v>15</v>
      </c>
      <c r="D13" s="2" t="s">
        <v>52</v>
      </c>
      <c r="E13" s="34">
        <v>1250</v>
      </c>
      <c r="F13" s="2">
        <f t="shared" si="0"/>
        <v>2.5</v>
      </c>
      <c r="G13" s="21">
        <f t="shared" si="1"/>
        <v>3125</v>
      </c>
      <c r="H13" s="2">
        <f t="shared" si="2"/>
        <v>0.5</v>
      </c>
      <c r="I13" s="21">
        <v>1000</v>
      </c>
      <c r="J13" s="21">
        <v>100</v>
      </c>
      <c r="K13" s="2">
        <v>0</v>
      </c>
      <c r="L13" s="38">
        <f t="shared" si="3"/>
        <v>3</v>
      </c>
      <c r="M13" s="2">
        <v>0</v>
      </c>
      <c r="N13" s="42">
        <f t="shared" si="4"/>
        <v>4225</v>
      </c>
    </row>
    <row r="14" spans="2:14">
      <c r="B14" s="6" t="s">
        <v>17</v>
      </c>
      <c r="C14" s="2" t="s">
        <v>24</v>
      </c>
      <c r="D14" s="2" t="s">
        <v>52</v>
      </c>
      <c r="E14" s="34">
        <v>450</v>
      </c>
      <c r="F14" s="2">
        <f t="shared" si="0"/>
        <v>0.9</v>
      </c>
      <c r="G14" s="21">
        <f t="shared" si="1"/>
        <v>1125</v>
      </c>
      <c r="H14" s="2">
        <f t="shared" si="2"/>
        <v>0.5</v>
      </c>
      <c r="I14" s="21">
        <v>1000</v>
      </c>
      <c r="J14" s="21">
        <v>1000</v>
      </c>
      <c r="K14" s="2">
        <v>2</v>
      </c>
      <c r="L14" s="38">
        <f t="shared" si="3"/>
        <v>3.4</v>
      </c>
      <c r="M14" s="2">
        <v>0</v>
      </c>
      <c r="N14" s="42">
        <f t="shared" si="4"/>
        <v>3125</v>
      </c>
    </row>
    <row r="15" spans="2:14">
      <c r="B15" s="6" t="s">
        <v>17</v>
      </c>
      <c r="C15" s="2" t="s">
        <v>26</v>
      </c>
      <c r="D15" s="2" t="s">
        <v>53</v>
      </c>
      <c r="E15" s="34">
        <v>550</v>
      </c>
      <c r="F15" s="2">
        <f t="shared" si="0"/>
        <v>1.1000000000000001</v>
      </c>
      <c r="G15" s="21">
        <f t="shared" si="1"/>
        <v>1375</v>
      </c>
      <c r="H15" s="2">
        <f t="shared" si="2"/>
        <v>2</v>
      </c>
      <c r="I15" s="21">
        <v>100</v>
      </c>
      <c r="J15" s="21">
        <v>500</v>
      </c>
      <c r="K15" s="2">
        <v>1</v>
      </c>
      <c r="L15" s="38">
        <f t="shared" si="3"/>
        <v>4.0999999999999996</v>
      </c>
      <c r="M15" s="2">
        <v>0</v>
      </c>
      <c r="N15" s="42">
        <f t="shared" si="4"/>
        <v>1975</v>
      </c>
    </row>
    <row r="16" spans="2:14" ht="15.75" thickBot="1">
      <c r="B16" s="8" t="s">
        <v>17</v>
      </c>
      <c r="C16" s="9" t="s">
        <v>32</v>
      </c>
      <c r="D16" s="9" t="s">
        <v>53</v>
      </c>
      <c r="E16" s="35">
        <v>1100</v>
      </c>
      <c r="F16" s="9">
        <f t="shared" si="0"/>
        <v>2.2000000000000002</v>
      </c>
      <c r="G16" s="31">
        <f t="shared" si="1"/>
        <v>2750</v>
      </c>
      <c r="H16" s="9">
        <f t="shared" si="2"/>
        <v>2</v>
      </c>
      <c r="I16" s="31">
        <v>1000</v>
      </c>
      <c r="J16" s="31">
        <v>500</v>
      </c>
      <c r="K16" s="9">
        <v>1</v>
      </c>
      <c r="L16" s="39">
        <f t="shared" si="3"/>
        <v>5.2</v>
      </c>
      <c r="M16" s="9">
        <v>0</v>
      </c>
      <c r="N16" s="43">
        <f t="shared" si="4"/>
        <v>4250</v>
      </c>
    </row>
    <row r="17" spans="2:14">
      <c r="B17" s="3" t="s">
        <v>24</v>
      </c>
      <c r="C17" s="4" t="s">
        <v>22</v>
      </c>
      <c r="D17" s="4" t="s">
        <v>52</v>
      </c>
      <c r="E17" s="33">
        <v>550</v>
      </c>
      <c r="F17" s="4">
        <f t="shared" si="0"/>
        <v>1.1000000000000001</v>
      </c>
      <c r="G17" s="30">
        <f t="shared" si="1"/>
        <v>1375</v>
      </c>
      <c r="H17" s="4">
        <f t="shared" si="2"/>
        <v>0.5</v>
      </c>
      <c r="I17" s="30">
        <v>0</v>
      </c>
      <c r="J17" s="30">
        <v>0</v>
      </c>
      <c r="K17" s="4">
        <v>0</v>
      </c>
      <c r="L17" s="37">
        <f t="shared" si="3"/>
        <v>1.6</v>
      </c>
      <c r="M17" s="4">
        <v>0</v>
      </c>
      <c r="N17" s="41">
        <f t="shared" si="4"/>
        <v>1375</v>
      </c>
    </row>
    <row r="18" spans="2:14" ht="15.75" thickBot="1">
      <c r="B18" s="8" t="s">
        <v>24</v>
      </c>
      <c r="C18" s="9" t="s">
        <v>54</v>
      </c>
      <c r="D18" s="9" t="s">
        <v>53</v>
      </c>
      <c r="E18" s="35">
        <v>600</v>
      </c>
      <c r="F18" s="9">
        <f t="shared" si="0"/>
        <v>1.2</v>
      </c>
      <c r="G18" s="31">
        <f t="shared" si="1"/>
        <v>1500</v>
      </c>
      <c r="H18" s="9">
        <f t="shared" si="2"/>
        <v>2</v>
      </c>
      <c r="I18" s="31">
        <v>0</v>
      </c>
      <c r="J18" s="31">
        <v>0</v>
      </c>
      <c r="K18" s="9">
        <v>0</v>
      </c>
      <c r="L18" s="39">
        <f t="shared" si="3"/>
        <v>3.2</v>
      </c>
      <c r="M18" s="9">
        <v>0</v>
      </c>
      <c r="N18" s="43">
        <f t="shared" si="4"/>
        <v>1500</v>
      </c>
    </row>
    <row r="19" spans="2:14">
      <c r="B19" s="3" t="s">
        <v>22</v>
      </c>
      <c r="C19" s="4" t="s">
        <v>11</v>
      </c>
      <c r="D19" s="4" t="s">
        <v>52</v>
      </c>
      <c r="E19" s="33">
        <v>400</v>
      </c>
      <c r="F19" s="4">
        <f t="shared" si="0"/>
        <v>0.8</v>
      </c>
      <c r="G19" s="30">
        <f t="shared" si="1"/>
        <v>1000</v>
      </c>
      <c r="H19" s="4">
        <f t="shared" si="2"/>
        <v>0.5</v>
      </c>
      <c r="I19" s="30">
        <v>100</v>
      </c>
      <c r="J19" s="30">
        <v>200</v>
      </c>
      <c r="K19" s="4">
        <v>0</v>
      </c>
      <c r="L19" s="37">
        <f t="shared" si="3"/>
        <v>1.3</v>
      </c>
      <c r="M19" s="4">
        <v>0</v>
      </c>
      <c r="N19" s="41">
        <f t="shared" si="4"/>
        <v>1300</v>
      </c>
    </row>
    <row r="20" spans="2:14" ht="15.75" thickBot="1">
      <c r="B20" s="8" t="s">
        <v>22</v>
      </c>
      <c r="C20" s="9" t="s">
        <v>20</v>
      </c>
      <c r="D20" s="9" t="s">
        <v>52</v>
      </c>
      <c r="E20" s="35">
        <v>400</v>
      </c>
      <c r="F20" s="9">
        <f t="shared" si="0"/>
        <v>0.8</v>
      </c>
      <c r="G20" s="31">
        <f t="shared" si="1"/>
        <v>1000</v>
      </c>
      <c r="H20" s="9">
        <f t="shared" si="2"/>
        <v>0.5</v>
      </c>
      <c r="I20" s="31">
        <v>100</v>
      </c>
      <c r="J20" s="31">
        <v>0</v>
      </c>
      <c r="K20" s="9">
        <v>0</v>
      </c>
      <c r="L20" s="39">
        <f t="shared" si="3"/>
        <v>1.3</v>
      </c>
      <c r="M20" s="9">
        <v>0</v>
      </c>
      <c r="N20" s="43">
        <f t="shared" si="4"/>
        <v>1100</v>
      </c>
    </row>
    <row r="21" spans="2:14">
      <c r="B21" s="3" t="s">
        <v>20</v>
      </c>
      <c r="C21" s="4" t="s">
        <v>22</v>
      </c>
      <c r="D21" s="4" t="s">
        <v>52</v>
      </c>
      <c r="E21" s="33">
        <v>400</v>
      </c>
      <c r="F21" s="4">
        <f t="shared" si="0"/>
        <v>0.8</v>
      </c>
      <c r="G21" s="30">
        <f t="shared" si="1"/>
        <v>1000</v>
      </c>
      <c r="H21" s="4">
        <f t="shared" si="2"/>
        <v>0.5</v>
      </c>
      <c r="I21" s="30">
        <v>200</v>
      </c>
      <c r="J21" s="30">
        <v>100</v>
      </c>
      <c r="K21" s="4">
        <v>0</v>
      </c>
      <c r="L21" s="37">
        <f t="shared" si="3"/>
        <v>1.3</v>
      </c>
      <c r="M21" s="4">
        <v>0</v>
      </c>
      <c r="N21" s="41">
        <f t="shared" si="4"/>
        <v>1300</v>
      </c>
    </row>
    <row r="22" spans="2:14" ht="15.75" thickBot="1">
      <c r="B22" s="8" t="s">
        <v>20</v>
      </c>
      <c r="C22" s="9" t="s">
        <v>15</v>
      </c>
      <c r="D22" s="9" t="s">
        <v>52</v>
      </c>
      <c r="E22" s="35">
        <v>900</v>
      </c>
      <c r="F22" s="9">
        <f t="shared" si="0"/>
        <v>1.8</v>
      </c>
      <c r="G22" s="31">
        <f t="shared" si="1"/>
        <v>2250</v>
      </c>
      <c r="H22" s="9">
        <f t="shared" si="2"/>
        <v>0.5</v>
      </c>
      <c r="I22" s="31">
        <v>200</v>
      </c>
      <c r="J22" s="31">
        <v>0</v>
      </c>
      <c r="K22" s="9">
        <v>0</v>
      </c>
      <c r="L22" s="39">
        <f t="shared" si="3"/>
        <v>2.2999999999999998</v>
      </c>
      <c r="M22" s="31">
        <f>0.1*G22</f>
        <v>225</v>
      </c>
      <c r="N22" s="43">
        <f t="shared" si="4"/>
        <v>2225</v>
      </c>
    </row>
    <row r="23" spans="2:14">
      <c r="B23" s="3" t="s">
        <v>15</v>
      </c>
      <c r="C23" s="4" t="s">
        <v>20</v>
      </c>
      <c r="D23" s="4" t="s">
        <v>52</v>
      </c>
      <c r="E23" s="33">
        <v>900</v>
      </c>
      <c r="F23" s="4">
        <f t="shared" si="0"/>
        <v>1.8</v>
      </c>
      <c r="G23" s="30">
        <f t="shared" si="1"/>
        <v>2250</v>
      </c>
      <c r="H23" s="4">
        <f t="shared" si="2"/>
        <v>0.5</v>
      </c>
      <c r="I23" s="30">
        <v>200</v>
      </c>
      <c r="J23" s="30">
        <v>0</v>
      </c>
      <c r="K23" s="4">
        <v>0</v>
      </c>
      <c r="L23" s="37">
        <f t="shared" si="3"/>
        <v>2.2999999999999998</v>
      </c>
      <c r="M23" s="30">
        <f>0.2*G23</f>
        <v>450</v>
      </c>
      <c r="N23" s="41">
        <f t="shared" si="4"/>
        <v>2000</v>
      </c>
    </row>
    <row r="24" spans="2:14" ht="15.75" thickBot="1">
      <c r="B24" s="8" t="s">
        <v>15</v>
      </c>
      <c r="C24" s="9" t="s">
        <v>17</v>
      </c>
      <c r="D24" s="9" t="s">
        <v>52</v>
      </c>
      <c r="E24" s="35">
        <v>1250</v>
      </c>
      <c r="F24" s="9">
        <f t="shared" si="0"/>
        <v>2.5</v>
      </c>
      <c r="G24" s="31">
        <f t="shared" si="1"/>
        <v>3125</v>
      </c>
      <c r="H24" s="9">
        <f t="shared" si="2"/>
        <v>0.5</v>
      </c>
      <c r="I24" s="31">
        <v>200</v>
      </c>
      <c r="J24" s="31">
        <v>200</v>
      </c>
      <c r="K24" s="9">
        <v>0</v>
      </c>
      <c r="L24" s="39">
        <f t="shared" si="3"/>
        <v>3</v>
      </c>
      <c r="M24" s="9">
        <v>0</v>
      </c>
      <c r="N24" s="43">
        <f t="shared" si="4"/>
        <v>3525</v>
      </c>
    </row>
    <row r="25" spans="2:14">
      <c r="B25" s="3" t="s">
        <v>13</v>
      </c>
      <c r="C25" s="4" t="s">
        <v>15</v>
      </c>
      <c r="D25" s="4" t="s">
        <v>52</v>
      </c>
      <c r="E25" s="33">
        <v>500</v>
      </c>
      <c r="F25" s="4">
        <f t="shared" si="0"/>
        <v>1</v>
      </c>
      <c r="G25" s="30">
        <f t="shared" si="1"/>
        <v>1250</v>
      </c>
      <c r="H25" s="4">
        <f t="shared" si="2"/>
        <v>0.5</v>
      </c>
      <c r="I25" s="30">
        <v>200</v>
      </c>
      <c r="J25" s="30">
        <v>1000</v>
      </c>
      <c r="K25" s="4">
        <v>3</v>
      </c>
      <c r="L25" s="37">
        <f t="shared" si="3"/>
        <v>4.5</v>
      </c>
      <c r="M25" s="4">
        <v>0</v>
      </c>
      <c r="N25" s="41">
        <f t="shared" si="4"/>
        <v>2450</v>
      </c>
    </row>
    <row r="26" spans="2:14" ht="15.75" thickBot="1">
      <c r="B26" s="8" t="s">
        <v>13</v>
      </c>
      <c r="C26" s="9" t="s">
        <v>8</v>
      </c>
      <c r="D26" s="9" t="s">
        <v>52</v>
      </c>
      <c r="E26" s="35">
        <v>950</v>
      </c>
      <c r="F26" s="9">
        <f t="shared" si="0"/>
        <v>1.9</v>
      </c>
      <c r="G26" s="31">
        <f t="shared" si="1"/>
        <v>2375</v>
      </c>
      <c r="H26" s="9">
        <f t="shared" si="2"/>
        <v>0.5</v>
      </c>
      <c r="I26" s="31">
        <v>200</v>
      </c>
      <c r="J26" s="31">
        <v>0</v>
      </c>
      <c r="K26" s="9">
        <v>0</v>
      </c>
      <c r="L26" s="39">
        <f t="shared" si="3"/>
        <v>2.4</v>
      </c>
      <c r="M26" s="31">
        <f>0.2*G26</f>
        <v>475</v>
      </c>
      <c r="N26" s="43">
        <f t="shared" si="4"/>
        <v>2100</v>
      </c>
    </row>
    <row r="27" spans="2:14">
      <c r="B27" s="3" t="s">
        <v>26</v>
      </c>
      <c r="C27" s="4" t="s">
        <v>28</v>
      </c>
      <c r="D27" s="4" t="s">
        <v>52</v>
      </c>
      <c r="E27" s="33">
        <v>400</v>
      </c>
      <c r="F27" s="4">
        <f t="shared" si="0"/>
        <v>0.8</v>
      </c>
      <c r="G27" s="30">
        <f t="shared" si="1"/>
        <v>1000</v>
      </c>
      <c r="H27" s="4">
        <f t="shared" si="2"/>
        <v>0.5</v>
      </c>
      <c r="I27" s="30">
        <v>1000</v>
      </c>
      <c r="J27" s="30">
        <v>0</v>
      </c>
      <c r="K27" s="4">
        <v>0</v>
      </c>
      <c r="L27" s="37">
        <f t="shared" si="3"/>
        <v>1.3</v>
      </c>
      <c r="M27" s="30">
        <f>0.2*G27</f>
        <v>200</v>
      </c>
      <c r="N27" s="41">
        <f t="shared" si="4"/>
        <v>1800</v>
      </c>
    </row>
    <row r="28" spans="2:14">
      <c r="B28" s="6" t="s">
        <v>26</v>
      </c>
      <c r="C28" s="2" t="s">
        <v>55</v>
      </c>
      <c r="D28" s="2" t="s">
        <v>52</v>
      </c>
      <c r="E28" s="34">
        <v>450</v>
      </c>
      <c r="F28" s="2">
        <f t="shared" si="0"/>
        <v>0.9</v>
      </c>
      <c r="G28" s="21">
        <f t="shared" si="1"/>
        <v>1125</v>
      </c>
      <c r="H28" s="2">
        <f t="shared" si="2"/>
        <v>0.5</v>
      </c>
      <c r="I28" s="21">
        <v>1000</v>
      </c>
      <c r="J28" s="21">
        <v>1000</v>
      </c>
      <c r="K28" s="2">
        <v>2</v>
      </c>
      <c r="L28" s="38">
        <f t="shared" si="3"/>
        <v>3.4</v>
      </c>
      <c r="M28" s="2">
        <v>0</v>
      </c>
      <c r="N28" s="42">
        <f t="shared" si="4"/>
        <v>3125</v>
      </c>
    </row>
    <row r="29" spans="2:14">
      <c r="B29" s="6" t="s">
        <v>26</v>
      </c>
      <c r="C29" s="2" t="s">
        <v>17</v>
      </c>
      <c r="D29" s="2" t="s">
        <v>53</v>
      </c>
      <c r="E29" s="34">
        <v>550</v>
      </c>
      <c r="F29" s="2">
        <f t="shared" si="0"/>
        <v>1.1000000000000001</v>
      </c>
      <c r="G29" s="21">
        <f t="shared" si="1"/>
        <v>1375</v>
      </c>
      <c r="H29" s="2">
        <f t="shared" si="2"/>
        <v>2</v>
      </c>
      <c r="I29" s="21">
        <v>1000</v>
      </c>
      <c r="J29" s="21">
        <v>500</v>
      </c>
      <c r="K29" s="2">
        <v>1</v>
      </c>
      <c r="L29" s="38">
        <f t="shared" si="3"/>
        <v>4.0999999999999996</v>
      </c>
      <c r="M29" s="2">
        <v>0</v>
      </c>
      <c r="N29" s="42">
        <f t="shared" si="4"/>
        <v>2875</v>
      </c>
    </row>
    <row r="30" spans="2:14" ht="15.75" thickBot="1">
      <c r="B30" s="8" t="s">
        <v>26</v>
      </c>
      <c r="C30" s="9" t="s">
        <v>32</v>
      </c>
      <c r="D30" s="9" t="s">
        <v>53</v>
      </c>
      <c r="E30" s="35">
        <v>1300</v>
      </c>
      <c r="F30" s="9">
        <f t="shared" si="0"/>
        <v>2.6</v>
      </c>
      <c r="G30" s="31">
        <f t="shared" si="1"/>
        <v>3250</v>
      </c>
      <c r="H30" s="9">
        <f t="shared" si="2"/>
        <v>2</v>
      </c>
      <c r="I30" s="31">
        <v>1000</v>
      </c>
      <c r="J30" s="31">
        <v>500</v>
      </c>
      <c r="K30" s="9">
        <v>1</v>
      </c>
      <c r="L30" s="39">
        <f t="shared" si="3"/>
        <v>5.6</v>
      </c>
      <c r="M30" s="9">
        <v>0</v>
      </c>
      <c r="N30" s="43">
        <f t="shared" si="4"/>
        <v>4750</v>
      </c>
    </row>
    <row r="31" spans="2:14">
      <c r="B31" s="3" t="s">
        <v>28</v>
      </c>
      <c r="C31" s="4" t="s">
        <v>26</v>
      </c>
      <c r="D31" s="4" t="s">
        <v>52</v>
      </c>
      <c r="E31" s="33">
        <v>400</v>
      </c>
      <c r="F31" s="4">
        <f t="shared" si="0"/>
        <v>0.8</v>
      </c>
      <c r="G31" s="30">
        <f t="shared" si="1"/>
        <v>1000</v>
      </c>
      <c r="H31" s="4">
        <f t="shared" si="2"/>
        <v>0.5</v>
      </c>
      <c r="I31" s="30">
        <v>500</v>
      </c>
      <c r="J31" s="30">
        <v>100</v>
      </c>
      <c r="K31" s="4">
        <v>0</v>
      </c>
      <c r="L31" s="37">
        <f t="shared" si="3"/>
        <v>1.3</v>
      </c>
      <c r="M31" s="30">
        <f>0.1*G31</f>
        <v>100</v>
      </c>
      <c r="N31" s="41">
        <f t="shared" si="4"/>
        <v>1500</v>
      </c>
    </row>
    <row r="32" spans="2:14" ht="15.75" thickBot="1">
      <c r="B32" s="8" t="s">
        <v>28</v>
      </c>
      <c r="C32" s="9" t="s">
        <v>8</v>
      </c>
      <c r="D32" s="9" t="s">
        <v>53</v>
      </c>
      <c r="E32" s="35">
        <v>1100</v>
      </c>
      <c r="F32" s="9">
        <f t="shared" si="0"/>
        <v>2.2000000000000002</v>
      </c>
      <c r="G32" s="31">
        <f t="shared" si="1"/>
        <v>2750</v>
      </c>
      <c r="H32" s="9">
        <f t="shared" si="2"/>
        <v>2</v>
      </c>
      <c r="I32" s="31">
        <v>500</v>
      </c>
      <c r="J32" s="31">
        <v>500</v>
      </c>
      <c r="K32" s="9">
        <v>1</v>
      </c>
      <c r="L32" s="39">
        <f t="shared" si="3"/>
        <v>5.2</v>
      </c>
      <c r="M32" s="9">
        <v>0</v>
      </c>
      <c r="N32" s="43">
        <f t="shared" si="4"/>
        <v>3750</v>
      </c>
    </row>
    <row r="33" spans="2:14">
      <c r="B33" s="3" t="s">
        <v>55</v>
      </c>
      <c r="C33" s="4" t="s">
        <v>26</v>
      </c>
      <c r="D33" s="4" t="s">
        <v>52</v>
      </c>
      <c r="E33" s="33">
        <v>450</v>
      </c>
      <c r="F33" s="4">
        <f t="shared" si="0"/>
        <v>0.9</v>
      </c>
      <c r="G33" s="30">
        <f t="shared" si="1"/>
        <v>1125</v>
      </c>
      <c r="H33" s="4">
        <f t="shared" si="2"/>
        <v>0.5</v>
      </c>
      <c r="I33" s="30">
        <v>0</v>
      </c>
      <c r="J33" s="30">
        <v>100</v>
      </c>
      <c r="K33" s="4">
        <v>2</v>
      </c>
      <c r="L33" s="37">
        <f t="shared" si="3"/>
        <v>3.4</v>
      </c>
      <c r="M33" s="4">
        <v>0</v>
      </c>
      <c r="N33" s="41">
        <f t="shared" si="4"/>
        <v>1225</v>
      </c>
    </row>
    <row r="34" spans="2:14" ht="15.75" thickBot="1">
      <c r="B34" s="8" t="s">
        <v>55</v>
      </c>
      <c r="C34" s="9" t="s">
        <v>54</v>
      </c>
      <c r="D34" s="9" t="s">
        <v>53</v>
      </c>
      <c r="E34" s="35">
        <v>700</v>
      </c>
      <c r="F34" s="9">
        <f t="shared" si="0"/>
        <v>1.4</v>
      </c>
      <c r="G34" s="31">
        <f t="shared" si="1"/>
        <v>1750</v>
      </c>
      <c r="H34" s="9">
        <f t="shared" si="2"/>
        <v>2</v>
      </c>
      <c r="I34" s="31">
        <v>0</v>
      </c>
      <c r="J34" s="31">
        <v>0</v>
      </c>
      <c r="K34" s="9">
        <v>0</v>
      </c>
      <c r="L34" s="39">
        <f t="shared" si="3"/>
        <v>3.4</v>
      </c>
      <c r="M34" s="31">
        <f>0.5*G34</f>
        <v>875</v>
      </c>
      <c r="N34" s="43">
        <f t="shared" si="4"/>
        <v>875</v>
      </c>
    </row>
    <row r="35" spans="2:14">
      <c r="B35" s="3" t="s">
        <v>32</v>
      </c>
      <c r="C35" s="4" t="s">
        <v>56</v>
      </c>
      <c r="D35" s="4" t="s">
        <v>52</v>
      </c>
      <c r="E35" s="33">
        <v>200</v>
      </c>
      <c r="F35" s="4">
        <f t="shared" si="0"/>
        <v>0.4</v>
      </c>
      <c r="G35" s="30">
        <f t="shared" si="1"/>
        <v>500</v>
      </c>
      <c r="H35" s="4">
        <f t="shared" si="2"/>
        <v>0.5</v>
      </c>
      <c r="I35" s="30">
        <v>1000</v>
      </c>
      <c r="J35" s="30">
        <v>100</v>
      </c>
      <c r="K35" s="4">
        <v>0</v>
      </c>
      <c r="L35" s="37">
        <f t="shared" si="3"/>
        <v>0.9</v>
      </c>
      <c r="M35" s="4">
        <v>0</v>
      </c>
      <c r="N35" s="41">
        <f t="shared" si="4"/>
        <v>1600</v>
      </c>
    </row>
    <row r="36" spans="2:14">
      <c r="B36" s="6" t="s">
        <v>32</v>
      </c>
      <c r="C36" s="2" t="s">
        <v>54</v>
      </c>
      <c r="D36" s="2" t="s">
        <v>52</v>
      </c>
      <c r="E36" s="34">
        <v>300</v>
      </c>
      <c r="F36" s="2">
        <f t="shared" si="0"/>
        <v>0.6</v>
      </c>
      <c r="G36" s="21">
        <f t="shared" si="1"/>
        <v>750</v>
      </c>
      <c r="H36" s="2">
        <f t="shared" si="2"/>
        <v>0.5</v>
      </c>
      <c r="I36" s="21">
        <v>1000</v>
      </c>
      <c r="J36" s="21">
        <v>500</v>
      </c>
      <c r="K36" s="2">
        <v>2</v>
      </c>
      <c r="L36" s="38">
        <f t="shared" si="3"/>
        <v>3.1</v>
      </c>
      <c r="M36" s="2">
        <v>0</v>
      </c>
      <c r="N36" s="42">
        <f t="shared" si="4"/>
        <v>2250</v>
      </c>
    </row>
    <row r="37" spans="2:14">
      <c r="B37" s="6" t="s">
        <v>32</v>
      </c>
      <c r="C37" s="2" t="s">
        <v>17</v>
      </c>
      <c r="D37" s="2" t="s">
        <v>53</v>
      </c>
      <c r="E37" s="34">
        <v>1100</v>
      </c>
      <c r="F37" s="2">
        <f t="shared" si="0"/>
        <v>2.2000000000000002</v>
      </c>
      <c r="G37" s="21">
        <f t="shared" si="1"/>
        <v>2750</v>
      </c>
      <c r="H37" s="2">
        <f t="shared" si="2"/>
        <v>2</v>
      </c>
      <c r="I37" s="21">
        <v>1000</v>
      </c>
      <c r="J37" s="21">
        <v>500</v>
      </c>
      <c r="K37" s="2">
        <v>1</v>
      </c>
      <c r="L37" s="38">
        <f t="shared" si="3"/>
        <v>5.2</v>
      </c>
      <c r="M37" s="2">
        <v>0</v>
      </c>
      <c r="N37" s="42">
        <f t="shared" si="4"/>
        <v>4250</v>
      </c>
    </row>
    <row r="38" spans="2:14" ht="15.75" thickBot="1">
      <c r="B38" s="8" t="s">
        <v>32</v>
      </c>
      <c r="C38" s="9" t="s">
        <v>26</v>
      </c>
      <c r="D38" s="9" t="s">
        <v>53</v>
      </c>
      <c r="E38" s="35">
        <v>1300</v>
      </c>
      <c r="F38" s="9">
        <f t="shared" si="0"/>
        <v>2.6</v>
      </c>
      <c r="G38" s="31">
        <f t="shared" si="1"/>
        <v>3250</v>
      </c>
      <c r="H38" s="9">
        <f t="shared" si="2"/>
        <v>2</v>
      </c>
      <c r="I38" s="31">
        <v>1000</v>
      </c>
      <c r="J38" s="31">
        <v>500</v>
      </c>
      <c r="K38" s="9">
        <v>1</v>
      </c>
      <c r="L38" s="39">
        <f t="shared" si="3"/>
        <v>5.6</v>
      </c>
      <c r="M38" s="9">
        <v>0</v>
      </c>
      <c r="N38" s="43">
        <f t="shared" si="4"/>
        <v>4750</v>
      </c>
    </row>
    <row r="39" spans="2:14">
      <c r="B39" s="3" t="s">
        <v>54</v>
      </c>
      <c r="C39" s="4" t="s">
        <v>32</v>
      </c>
      <c r="D39" s="4" t="s">
        <v>52</v>
      </c>
      <c r="E39" s="33">
        <v>300</v>
      </c>
      <c r="F39" s="4">
        <f t="shared" si="0"/>
        <v>0.6</v>
      </c>
      <c r="G39" s="30">
        <f t="shared" si="1"/>
        <v>750</v>
      </c>
      <c r="H39" s="4">
        <f t="shared" si="2"/>
        <v>0.5</v>
      </c>
      <c r="I39" s="30">
        <v>200</v>
      </c>
      <c r="J39" s="30">
        <v>1000</v>
      </c>
      <c r="K39" s="4">
        <v>1</v>
      </c>
      <c r="L39" s="37">
        <f t="shared" si="3"/>
        <v>2.1</v>
      </c>
      <c r="M39" s="4">
        <v>0</v>
      </c>
      <c r="N39" s="41">
        <f t="shared" si="4"/>
        <v>1950</v>
      </c>
    </row>
    <row r="40" spans="2:14">
      <c r="B40" s="6" t="s">
        <v>54</v>
      </c>
      <c r="C40" s="2" t="s">
        <v>24</v>
      </c>
      <c r="D40" s="2" t="s">
        <v>53</v>
      </c>
      <c r="E40" s="34">
        <v>600</v>
      </c>
      <c r="F40" s="2">
        <f t="shared" si="0"/>
        <v>1.2</v>
      </c>
      <c r="G40" s="21">
        <f t="shared" si="1"/>
        <v>1500</v>
      </c>
      <c r="H40" s="2">
        <f t="shared" si="2"/>
        <v>2</v>
      </c>
      <c r="I40" s="21">
        <v>0</v>
      </c>
      <c r="J40" s="21">
        <v>0</v>
      </c>
      <c r="K40" s="2">
        <v>0</v>
      </c>
      <c r="L40" s="38">
        <f t="shared" si="3"/>
        <v>3.2</v>
      </c>
      <c r="M40" s="21">
        <f>0.5*G40</f>
        <v>750</v>
      </c>
      <c r="N40" s="42">
        <f t="shared" si="4"/>
        <v>750</v>
      </c>
    </row>
    <row r="41" spans="2:14" ht="15.75" thickBot="1">
      <c r="B41" s="8" t="s">
        <v>54</v>
      </c>
      <c r="C41" s="9" t="s">
        <v>55</v>
      </c>
      <c r="D41" s="9" t="s">
        <v>53</v>
      </c>
      <c r="E41" s="35">
        <v>700</v>
      </c>
      <c r="F41" s="9">
        <f t="shared" si="0"/>
        <v>1.4</v>
      </c>
      <c r="G41" s="31">
        <f t="shared" si="1"/>
        <v>1750</v>
      </c>
      <c r="H41" s="9">
        <f t="shared" si="2"/>
        <v>2</v>
      </c>
      <c r="I41" s="31">
        <v>0</v>
      </c>
      <c r="J41" s="31">
        <v>0</v>
      </c>
      <c r="K41" s="9">
        <v>0</v>
      </c>
      <c r="L41" s="39">
        <f t="shared" si="3"/>
        <v>3.4</v>
      </c>
      <c r="M41" s="31">
        <f>0.5*G41</f>
        <v>875</v>
      </c>
      <c r="N41" s="43">
        <f t="shared" si="4"/>
        <v>875</v>
      </c>
    </row>
    <row r="43" spans="2:14">
      <c r="B43" t="s">
        <v>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3C74-F04E-46E3-A839-768D4B2D69AA}">
  <dimension ref="B1:G40"/>
  <sheetViews>
    <sheetView tabSelected="1" topLeftCell="B1" workbookViewId="0">
      <selection activeCell="H10" sqref="H10"/>
    </sheetView>
  </sheetViews>
  <sheetFormatPr defaultColWidth="10.7109375" defaultRowHeight="15"/>
  <cols>
    <col min="2" max="2" width="21.7109375" customWidth="1"/>
    <col min="3" max="3" width="15.85546875" bestFit="1" customWidth="1"/>
    <col min="4" max="4" width="9.140625" style="54" bestFit="1" customWidth="1"/>
    <col min="5" max="5" width="12.85546875" bestFit="1" customWidth="1"/>
    <col min="6" max="6" width="16" style="59" bestFit="1" customWidth="1"/>
    <col min="7" max="7" width="10.85546875" style="20"/>
  </cols>
  <sheetData>
    <row r="1" spans="2:7" ht="15.75" thickBot="1"/>
    <row r="2" spans="2:7" ht="15.75" thickBot="1">
      <c r="B2" s="52" t="s">
        <v>39</v>
      </c>
      <c r="C2" s="1" t="s">
        <v>40</v>
      </c>
      <c r="D2" s="55" t="s">
        <v>41</v>
      </c>
      <c r="E2" s="53" t="s">
        <v>42</v>
      </c>
      <c r="F2" s="60" t="s">
        <v>49</v>
      </c>
      <c r="G2" s="51" t="s">
        <v>51</v>
      </c>
    </row>
    <row r="3" spans="2:7">
      <c r="B3" s="3" t="s">
        <v>4</v>
      </c>
      <c r="C3" s="4" t="s">
        <v>8</v>
      </c>
      <c r="D3" s="56" t="s">
        <v>52</v>
      </c>
      <c r="E3" s="46">
        <v>500</v>
      </c>
      <c r="F3" s="61">
        <v>1.5</v>
      </c>
      <c r="G3" s="47">
        <v>1550</v>
      </c>
    </row>
    <row r="4" spans="2:7">
      <c r="B4" s="6" t="s">
        <v>8</v>
      </c>
      <c r="C4" s="2" t="s">
        <v>4</v>
      </c>
      <c r="D4" s="57" t="s">
        <v>52</v>
      </c>
      <c r="E4" s="45">
        <v>500</v>
      </c>
      <c r="F4" s="62">
        <v>1.5</v>
      </c>
      <c r="G4" s="48">
        <v>1850</v>
      </c>
    </row>
    <row r="5" spans="2:7">
      <c r="B5" s="6" t="s">
        <v>8</v>
      </c>
      <c r="C5" s="2" t="s">
        <v>13</v>
      </c>
      <c r="D5" s="57" t="s">
        <v>52</v>
      </c>
      <c r="E5" s="45">
        <v>950</v>
      </c>
      <c r="F5" s="62">
        <v>2.4</v>
      </c>
      <c r="G5" s="48">
        <v>2400</v>
      </c>
    </row>
    <row r="6" spans="2:7">
      <c r="B6" s="6" t="s">
        <v>8</v>
      </c>
      <c r="C6" s="2" t="s">
        <v>11</v>
      </c>
      <c r="D6" s="57" t="s">
        <v>52</v>
      </c>
      <c r="E6" s="45">
        <v>550</v>
      </c>
      <c r="F6" s="62">
        <v>1.6</v>
      </c>
      <c r="G6" s="48">
        <v>1975</v>
      </c>
    </row>
    <row r="7" spans="2:7">
      <c r="B7" s="6" t="s">
        <v>8</v>
      </c>
      <c r="C7" s="2" t="s">
        <v>28</v>
      </c>
      <c r="D7" s="57" t="s">
        <v>53</v>
      </c>
      <c r="E7" s="45">
        <v>1100</v>
      </c>
      <c r="F7" s="62">
        <v>5.2</v>
      </c>
      <c r="G7" s="48">
        <v>3750</v>
      </c>
    </row>
    <row r="8" spans="2:7">
      <c r="B8" s="6" t="s">
        <v>11</v>
      </c>
      <c r="C8" s="2" t="s">
        <v>8</v>
      </c>
      <c r="D8" s="57" t="s">
        <v>52</v>
      </c>
      <c r="E8" s="45">
        <v>550</v>
      </c>
      <c r="F8" s="62">
        <v>1.6</v>
      </c>
      <c r="G8" s="48">
        <v>1675</v>
      </c>
    </row>
    <row r="9" spans="2:7">
      <c r="B9" s="6" t="s">
        <v>11</v>
      </c>
      <c r="C9" s="2" t="s">
        <v>22</v>
      </c>
      <c r="D9" s="57" t="s">
        <v>52</v>
      </c>
      <c r="E9" s="45">
        <v>400</v>
      </c>
      <c r="F9" s="62">
        <v>1.3</v>
      </c>
      <c r="G9" s="48">
        <v>1300</v>
      </c>
    </row>
    <row r="10" spans="2:7">
      <c r="B10" s="6" t="s">
        <v>11</v>
      </c>
      <c r="C10" s="2" t="s">
        <v>17</v>
      </c>
      <c r="D10" s="57" t="s">
        <v>52</v>
      </c>
      <c r="E10" s="45">
        <v>600</v>
      </c>
      <c r="F10" s="62">
        <v>1.7</v>
      </c>
      <c r="G10" s="48">
        <v>1550</v>
      </c>
    </row>
    <row r="11" spans="2:7">
      <c r="B11" s="6" t="s">
        <v>17</v>
      </c>
      <c r="C11" s="2" t="s">
        <v>11</v>
      </c>
      <c r="D11" s="57" t="s">
        <v>52</v>
      </c>
      <c r="E11" s="45">
        <v>600</v>
      </c>
      <c r="F11" s="62">
        <v>1.7</v>
      </c>
      <c r="G11" s="48">
        <v>2350</v>
      </c>
    </row>
    <row r="12" spans="2:7">
      <c r="B12" s="6" t="s">
        <v>17</v>
      </c>
      <c r="C12" s="2" t="s">
        <v>15</v>
      </c>
      <c r="D12" s="57" t="s">
        <v>52</v>
      </c>
      <c r="E12" s="45">
        <v>1250</v>
      </c>
      <c r="F12" s="62">
        <v>3</v>
      </c>
      <c r="G12" s="48">
        <v>4225</v>
      </c>
    </row>
    <row r="13" spans="2:7">
      <c r="B13" s="6" t="s">
        <v>17</v>
      </c>
      <c r="C13" s="2" t="s">
        <v>24</v>
      </c>
      <c r="D13" s="57" t="s">
        <v>52</v>
      </c>
      <c r="E13" s="45">
        <v>450</v>
      </c>
      <c r="F13" s="62">
        <v>3.4</v>
      </c>
      <c r="G13" s="48">
        <v>3125</v>
      </c>
    </row>
    <row r="14" spans="2:7">
      <c r="B14" s="6" t="s">
        <v>17</v>
      </c>
      <c r="C14" s="2" t="s">
        <v>26</v>
      </c>
      <c r="D14" s="57" t="s">
        <v>53</v>
      </c>
      <c r="E14" s="45">
        <v>550</v>
      </c>
      <c r="F14" s="62">
        <v>4.0999999999999996</v>
      </c>
      <c r="G14" s="48">
        <v>1975</v>
      </c>
    </row>
    <row r="15" spans="2:7">
      <c r="B15" s="6" t="s">
        <v>17</v>
      </c>
      <c r="C15" s="2" t="s">
        <v>32</v>
      </c>
      <c r="D15" s="57" t="s">
        <v>53</v>
      </c>
      <c r="E15" s="45">
        <v>1100</v>
      </c>
      <c r="F15" s="62">
        <v>5.2</v>
      </c>
      <c r="G15" s="48">
        <v>4250</v>
      </c>
    </row>
    <row r="16" spans="2:7">
      <c r="B16" s="6" t="s">
        <v>24</v>
      </c>
      <c r="C16" s="2" t="s">
        <v>22</v>
      </c>
      <c r="D16" s="57" t="s">
        <v>52</v>
      </c>
      <c r="E16" s="45">
        <v>550</v>
      </c>
      <c r="F16" s="62">
        <v>1.6</v>
      </c>
      <c r="G16" s="48">
        <v>1375</v>
      </c>
    </row>
    <row r="17" spans="2:7">
      <c r="B17" s="6" t="s">
        <v>24</v>
      </c>
      <c r="C17" s="2" t="s">
        <v>54</v>
      </c>
      <c r="D17" s="57" t="s">
        <v>53</v>
      </c>
      <c r="E17" s="45">
        <v>600</v>
      </c>
      <c r="F17" s="62">
        <v>3.2</v>
      </c>
      <c r="G17" s="48">
        <v>1500</v>
      </c>
    </row>
    <row r="18" spans="2:7">
      <c r="B18" s="6" t="s">
        <v>22</v>
      </c>
      <c r="C18" s="2" t="s">
        <v>11</v>
      </c>
      <c r="D18" s="57" t="s">
        <v>52</v>
      </c>
      <c r="E18" s="45">
        <v>400</v>
      </c>
      <c r="F18" s="62">
        <v>1.3</v>
      </c>
      <c r="G18" s="48">
        <v>1300</v>
      </c>
    </row>
    <row r="19" spans="2:7">
      <c r="B19" s="6" t="s">
        <v>22</v>
      </c>
      <c r="C19" s="2" t="s">
        <v>20</v>
      </c>
      <c r="D19" s="57" t="s">
        <v>52</v>
      </c>
      <c r="E19" s="45">
        <v>400</v>
      </c>
      <c r="F19" s="62">
        <v>1.3</v>
      </c>
      <c r="G19" s="48">
        <v>1100</v>
      </c>
    </row>
    <row r="20" spans="2:7">
      <c r="B20" s="6" t="s">
        <v>20</v>
      </c>
      <c r="C20" s="2" t="s">
        <v>22</v>
      </c>
      <c r="D20" s="57" t="s">
        <v>52</v>
      </c>
      <c r="E20" s="45">
        <v>400</v>
      </c>
      <c r="F20" s="62">
        <v>1.3</v>
      </c>
      <c r="G20" s="48">
        <v>1300</v>
      </c>
    </row>
    <row r="21" spans="2:7">
      <c r="B21" s="6" t="s">
        <v>20</v>
      </c>
      <c r="C21" s="2" t="s">
        <v>15</v>
      </c>
      <c r="D21" s="57" t="s">
        <v>52</v>
      </c>
      <c r="E21" s="45">
        <v>900</v>
      </c>
      <c r="F21" s="62">
        <v>2.2999999999999998</v>
      </c>
      <c r="G21" s="48">
        <v>2225</v>
      </c>
    </row>
    <row r="22" spans="2:7">
      <c r="B22" s="6" t="s">
        <v>15</v>
      </c>
      <c r="C22" s="2" t="s">
        <v>20</v>
      </c>
      <c r="D22" s="57" t="s">
        <v>52</v>
      </c>
      <c r="E22" s="45">
        <v>900</v>
      </c>
      <c r="F22" s="62">
        <v>2.2999999999999998</v>
      </c>
      <c r="G22" s="48">
        <v>2000</v>
      </c>
    </row>
    <row r="23" spans="2:7">
      <c r="B23" s="6" t="s">
        <v>15</v>
      </c>
      <c r="C23" s="2" t="s">
        <v>17</v>
      </c>
      <c r="D23" s="57" t="s">
        <v>52</v>
      </c>
      <c r="E23" s="45">
        <v>1250</v>
      </c>
      <c r="F23" s="62">
        <v>3</v>
      </c>
      <c r="G23" s="48">
        <v>3525</v>
      </c>
    </row>
    <row r="24" spans="2:7">
      <c r="B24" s="6" t="s">
        <v>13</v>
      </c>
      <c r="C24" s="2" t="s">
        <v>15</v>
      </c>
      <c r="D24" s="57" t="s">
        <v>52</v>
      </c>
      <c r="E24" s="45">
        <v>500</v>
      </c>
      <c r="F24" s="62">
        <v>4.5</v>
      </c>
      <c r="G24" s="48">
        <v>2450</v>
      </c>
    </row>
    <row r="25" spans="2:7">
      <c r="B25" s="6" t="s">
        <v>13</v>
      </c>
      <c r="C25" s="2" t="s">
        <v>8</v>
      </c>
      <c r="D25" s="57" t="s">
        <v>52</v>
      </c>
      <c r="E25" s="45">
        <v>950</v>
      </c>
      <c r="F25" s="62">
        <v>2.4</v>
      </c>
      <c r="G25" s="48">
        <v>2100</v>
      </c>
    </row>
    <row r="26" spans="2:7">
      <c r="B26" s="6" t="s">
        <v>26</v>
      </c>
      <c r="C26" s="2" t="s">
        <v>28</v>
      </c>
      <c r="D26" s="57" t="s">
        <v>52</v>
      </c>
      <c r="E26" s="45">
        <v>400</v>
      </c>
      <c r="F26" s="62">
        <v>1.3</v>
      </c>
      <c r="G26" s="48">
        <v>1800</v>
      </c>
    </row>
    <row r="27" spans="2:7">
      <c r="B27" s="6" t="s">
        <v>26</v>
      </c>
      <c r="C27" s="2" t="s">
        <v>55</v>
      </c>
      <c r="D27" s="57" t="s">
        <v>52</v>
      </c>
      <c r="E27" s="45">
        <v>450</v>
      </c>
      <c r="F27" s="62">
        <v>3.4</v>
      </c>
      <c r="G27" s="48">
        <v>3125</v>
      </c>
    </row>
    <row r="28" spans="2:7">
      <c r="B28" s="6" t="s">
        <v>26</v>
      </c>
      <c r="C28" s="2" t="s">
        <v>17</v>
      </c>
      <c r="D28" s="57" t="s">
        <v>53</v>
      </c>
      <c r="E28" s="45">
        <v>550</v>
      </c>
      <c r="F28" s="62">
        <v>4.0999999999999996</v>
      </c>
      <c r="G28" s="48">
        <v>2875</v>
      </c>
    </row>
    <row r="29" spans="2:7">
      <c r="B29" s="6" t="s">
        <v>26</v>
      </c>
      <c r="C29" s="2" t="s">
        <v>32</v>
      </c>
      <c r="D29" s="57" t="s">
        <v>53</v>
      </c>
      <c r="E29" s="45">
        <v>1300</v>
      </c>
      <c r="F29" s="62">
        <v>5.6</v>
      </c>
      <c r="G29" s="48">
        <v>4750</v>
      </c>
    </row>
    <row r="30" spans="2:7">
      <c r="B30" s="6" t="s">
        <v>28</v>
      </c>
      <c r="C30" s="2" t="s">
        <v>26</v>
      </c>
      <c r="D30" s="57" t="s">
        <v>52</v>
      </c>
      <c r="E30" s="45">
        <v>400</v>
      </c>
      <c r="F30" s="62">
        <v>1.3</v>
      </c>
      <c r="G30" s="48">
        <v>1500</v>
      </c>
    </row>
    <row r="31" spans="2:7">
      <c r="B31" s="6" t="s">
        <v>28</v>
      </c>
      <c r="C31" s="2" t="s">
        <v>8</v>
      </c>
      <c r="D31" s="57" t="s">
        <v>53</v>
      </c>
      <c r="E31" s="45">
        <v>1100</v>
      </c>
      <c r="F31" s="62">
        <v>5.2</v>
      </c>
      <c r="G31" s="48">
        <v>3750</v>
      </c>
    </row>
    <row r="32" spans="2:7">
      <c r="B32" s="6" t="s">
        <v>55</v>
      </c>
      <c r="C32" s="2" t="s">
        <v>26</v>
      </c>
      <c r="D32" s="57" t="s">
        <v>52</v>
      </c>
      <c r="E32" s="45">
        <v>450</v>
      </c>
      <c r="F32" s="62">
        <v>3.4</v>
      </c>
      <c r="G32" s="48">
        <v>1225</v>
      </c>
    </row>
    <row r="33" spans="2:7">
      <c r="B33" s="6" t="s">
        <v>55</v>
      </c>
      <c r="C33" s="2" t="s">
        <v>54</v>
      </c>
      <c r="D33" s="57" t="s">
        <v>53</v>
      </c>
      <c r="E33" s="45">
        <v>700</v>
      </c>
      <c r="F33" s="62">
        <v>3.4</v>
      </c>
      <c r="G33" s="48">
        <v>875</v>
      </c>
    </row>
    <row r="34" spans="2:7">
      <c r="B34" s="6" t="s">
        <v>32</v>
      </c>
      <c r="C34" s="2" t="s">
        <v>56</v>
      </c>
      <c r="D34" s="57" t="s">
        <v>52</v>
      </c>
      <c r="E34" s="45">
        <v>200</v>
      </c>
      <c r="F34" s="62">
        <v>0.9</v>
      </c>
      <c r="G34" s="48">
        <v>1600</v>
      </c>
    </row>
    <row r="35" spans="2:7">
      <c r="B35" s="6" t="s">
        <v>32</v>
      </c>
      <c r="C35" s="2" t="s">
        <v>54</v>
      </c>
      <c r="D35" s="57" t="s">
        <v>52</v>
      </c>
      <c r="E35" s="45">
        <v>300</v>
      </c>
      <c r="F35" s="62">
        <v>3.1</v>
      </c>
      <c r="G35" s="48">
        <v>2250</v>
      </c>
    </row>
    <row r="36" spans="2:7">
      <c r="B36" s="6" t="s">
        <v>32</v>
      </c>
      <c r="C36" s="2" t="s">
        <v>17</v>
      </c>
      <c r="D36" s="57" t="s">
        <v>53</v>
      </c>
      <c r="E36" s="45">
        <v>1100</v>
      </c>
      <c r="F36" s="62">
        <v>5.2</v>
      </c>
      <c r="G36" s="48">
        <v>4250</v>
      </c>
    </row>
    <row r="37" spans="2:7">
      <c r="B37" s="6" t="s">
        <v>32</v>
      </c>
      <c r="C37" s="2" t="s">
        <v>26</v>
      </c>
      <c r="D37" s="57" t="s">
        <v>53</v>
      </c>
      <c r="E37" s="45">
        <v>1300</v>
      </c>
      <c r="F37" s="62">
        <v>5.6</v>
      </c>
      <c r="G37" s="48">
        <v>4750</v>
      </c>
    </row>
    <row r="38" spans="2:7">
      <c r="B38" s="6" t="s">
        <v>54</v>
      </c>
      <c r="C38" s="2" t="s">
        <v>32</v>
      </c>
      <c r="D38" s="57" t="s">
        <v>52</v>
      </c>
      <c r="E38" s="45">
        <v>300</v>
      </c>
      <c r="F38" s="62">
        <v>2.1</v>
      </c>
      <c r="G38" s="48">
        <v>1950</v>
      </c>
    </row>
    <row r="39" spans="2:7">
      <c r="B39" s="6" t="s">
        <v>54</v>
      </c>
      <c r="C39" s="2" t="s">
        <v>24</v>
      </c>
      <c r="D39" s="57" t="s">
        <v>53</v>
      </c>
      <c r="E39" s="45">
        <v>600</v>
      </c>
      <c r="F39" s="62">
        <v>3.2</v>
      </c>
      <c r="G39" s="48">
        <v>750</v>
      </c>
    </row>
    <row r="40" spans="2:7" ht="15.75" thickBot="1">
      <c r="B40" s="8" t="s">
        <v>54</v>
      </c>
      <c r="C40" s="9" t="s">
        <v>55</v>
      </c>
      <c r="D40" s="58" t="s">
        <v>53</v>
      </c>
      <c r="E40" s="49">
        <v>700</v>
      </c>
      <c r="F40" s="63">
        <v>3.4</v>
      </c>
      <c r="G40" s="50">
        <v>875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5FAE666EED84281FE1FF02999B183" ma:contentTypeVersion="7" ma:contentTypeDescription="Crear nuevo documento." ma:contentTypeScope="" ma:versionID="b54ef44619551cbd682152302586976f">
  <xsd:schema xmlns:xsd="http://www.w3.org/2001/XMLSchema" xmlns:xs="http://www.w3.org/2001/XMLSchema" xmlns:p="http://schemas.microsoft.com/office/2006/metadata/properties" xmlns:ns2="9a7bfc26-0725-46fe-9c85-aa37ed47ad6b" targetNamespace="http://schemas.microsoft.com/office/2006/metadata/properties" ma:root="true" ma:fieldsID="6eb3ae07d84271f6a312a82449977125" ns2:_="">
    <xsd:import namespace="9a7bfc26-0725-46fe-9c85-aa37ed47a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bfc26-0725-46fe-9c85-aa37ed47ad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DAB249-2F4F-482B-8396-03F58611D4D2}"/>
</file>

<file path=customXml/itemProps2.xml><?xml version="1.0" encoding="utf-8"?>
<ds:datastoreItem xmlns:ds="http://schemas.openxmlformats.org/officeDocument/2006/customXml" ds:itemID="{9165CD01-B6B8-4F9F-9C75-18AF4235673A}"/>
</file>

<file path=customXml/itemProps3.xml><?xml version="1.0" encoding="utf-8"?>
<ds:datastoreItem xmlns:ds="http://schemas.openxmlformats.org/officeDocument/2006/customXml" ds:itemID="{7AD7FA87-B695-4841-964A-0E32BCD04E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FusionUser</dc:creator>
  <cp:keywords/>
  <dc:description/>
  <cp:lastModifiedBy/>
  <cp:revision/>
  <dcterms:created xsi:type="dcterms:W3CDTF">2021-02-18T23:23:52Z</dcterms:created>
  <dcterms:modified xsi:type="dcterms:W3CDTF">2024-02-09T15:33:06Z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0x0101000A05FAE666EED84281FE1FF02999B183</vt:lpwstr>
  </property>
</Properties>
</file>